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mily Spec" sheetId="1" r:id="rId1"/>
    <sheet name="Tone Holes" sheetId="2" r:id="rId2"/>
    <sheet name="Keywork" sheetId="3" r:id="rId3"/>
    <sheet name="SolidWorks Export" sheetId="4" r:id="rId4"/>
  </sheets>
  <calcPr calcMode="auto"/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1F2937"/>
      <name val="Calibri"/>
    </font>
    <font>
      <b/>
      <sz val="11"/>
      <color rgb="FFFFFFFF"/>
      <name val="Calibri"/>
    </font>
    <font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Xfs count="5">
    <xf numFmtId="0" fontId="0" fillId="0" borderId="0" xfId="0"/>
    <xf numFmtId="0" fontId="1" fillId="0" borderId="0" xfId="0" applyFont="1"/>
    <xf numFmtId="0" fontId="2" fillId="3" borderId="0" xfId="0" applyFont="1" applyFill="1"/>
    <xf numFmtId="0" fontId="3" fillId="2" borderId="0" xfId="0" applyFont="1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s="1" t="inlineStr">
        <is>
          <t>Chalumeau Family Parametric Design Table</t>
        </is>
      </c>
    </row>
    <row r="2">
      <c r="A2" s="2" t="inlineStr">
        <is>
          <t>Input</t>
        </is>
      </c>
      <c r="B2" s="2" t="inlineStr">
        <is>
          <t>Unit</t>
        </is>
      </c>
      <c r="C2" s="2" t="inlineStr">
        <is>
          <t>Value</t>
        </is>
      </c>
      <c r="D2" s="2" t="inlineStr">
        <is>
          <t>Notes</t>
        </is>
      </c>
    </row>
    <row r="3">
      <c r="A3" s="0" t="inlineStr">
        <is>
          <t>Speed of sound</t>
        </is>
      </c>
      <c r="B3" s="0" t="inlineStr">
        <is>
          <t>in/s</t>
        </is>
      </c>
      <c r="C3" s="3">
        <v>13552.0</v>
      </c>
      <c r="D3" s="0" t="inlineStr">
        <is>
          <t>blue input; adjust for temperature</t>
        </is>
      </c>
    </row>
    <row r="4">
      <c r="A4" s="0" t="inlineStr">
        <is>
          <t>Bell end correction factor</t>
        </is>
      </c>
      <c r="B4" s="0" t="inlineStr">
        <is>
          <t>radius multiple</t>
        </is>
      </c>
      <c r="C4" s="3">
        <v>0.61</v>
      </c>
      <c r="D4" s="0" t="inlineStr">
        <is>
          <t>open-end first pass</t>
        </is>
      </c>
    </row>
    <row r="5">
      <c r="A5" s="0" t="inlineStr">
        <is>
          <t>Reed end correction factor</t>
        </is>
      </c>
      <c r="B5" s="0" t="inlineStr">
        <is>
          <t>bore ID multiple</t>
        </is>
      </c>
      <c r="C5" s="3">
        <v>0.25</v>
      </c>
      <c r="D5" s="0" t="inlineStr">
        <is>
          <t>first-pass reed/mouthpiece compliance</t>
        </is>
      </c>
    </row>
    <row r="6">
</row>
    <row r="7">
      <c r="A7" s="2" t="inlineStr">
        <is>
          <t>Instrument ID</t>
        </is>
      </c>
      <c r="B7" s="2" t="inlineStr">
        <is>
          <t>Variant</t>
        </is>
      </c>
      <c r="C7" s="2" t="inlineStr">
        <is>
          <t>Root MIDI</t>
        </is>
      </c>
      <c r="D7" s="2" t="inlineStr">
        <is>
          <t>Bore ID in</t>
        </is>
      </c>
      <c r="E7" s="2" t="inlineStr">
        <is>
          <t>Wall in</t>
        </is>
      </c>
      <c r="F7" s="2" t="inlineStr">
        <is>
          <t>Root Hz</t>
        </is>
      </c>
      <c r="G7" s="2" t="inlineStr">
        <is>
          <t>Acoustic L in</t>
        </is>
      </c>
      <c r="H7" s="2" t="inlineStr">
        <is>
          <t>Body L final in</t>
        </is>
      </c>
      <c r="I7" s="2" t="inlineStr">
        <is>
          <t>Blank L in</t>
        </is>
      </c>
      <c r="J7" s="2" t="inlineStr">
        <is>
          <t>Body OD in</t>
        </is>
      </c>
      <c r="K7" s="2" t="inlineStr">
        <is>
          <t>Bell OD in</t>
        </is>
      </c>
    </row>
    <row r="8">
      <c r="A8" s="0" t="inlineStr">
        <is>
          <t>CLM-SOP-C4</t>
        </is>
      </c>
      <c r="B8" s="0" t="inlineStr">
        <is>
          <t>Soprano C</t>
        </is>
      </c>
      <c r="C8" s="3">
        <v>60</v>
      </c>
      <c r="D8" s="3">
        <v>0.5</v>
      </c>
      <c r="E8" s="3">
        <v>0.1875</v>
      </c>
      <c r="F8" s="4">
        <f>440*POWER(2,(C8-69)/12)</f>
      </c>
      <c r="G8" s="4">
        <f>$C$3/(4*F8)</f>
      </c>
      <c r="H8" s="4">
        <f>G8-$C$4*(D8/2)-$C$5*D8</f>
      </c>
      <c r="I8" s="4">
        <f>H8+1.5</f>
      </c>
      <c r="J8" s="4">
        <f>D8+2*E8</f>
      </c>
      <c r="K8" s="3">
        <v>1.65</v>
      </c>
    </row>
    <row r="9">
      <c r="A9" s="0" t="inlineStr">
        <is>
          <t>CLM-ALT-G3</t>
        </is>
      </c>
      <c r="B9" s="0" t="inlineStr">
        <is>
          <t>Alto G</t>
        </is>
      </c>
      <c r="C9" s="3">
        <v>55</v>
      </c>
      <c r="D9" s="3">
        <v>0.625</v>
      </c>
      <c r="E9" s="3">
        <v>0.21875</v>
      </c>
      <c r="F9" s="4">
        <f>440*POWER(2,(C9-69)/12)</f>
      </c>
      <c r="G9" s="4">
        <f>$C$3/(4*F9)</f>
      </c>
      <c r="H9" s="4">
        <f>G9-$C$4*(D9/2)-$C$5*D9</f>
      </c>
      <c r="I9" s="4">
        <f>H9+1.5</f>
      </c>
      <c r="J9" s="4">
        <f>D9+2*E9</f>
      </c>
      <c r="K9" s="3">
        <v>1.95</v>
      </c>
    </row>
    <row r="10">
      <c r="A10" s="0" t="inlineStr">
        <is>
          <t>CLM-TEN-C3</t>
        </is>
      </c>
      <c r="B10" s="0" t="inlineStr">
        <is>
          <t>Tenor C</t>
        </is>
      </c>
      <c r="C10" s="3">
        <v>48</v>
      </c>
      <c r="D10" s="3">
        <v>0.75</v>
      </c>
      <c r="E10" s="3">
        <v>0.25</v>
      </c>
      <c r="F10" s="4">
        <f>440*POWER(2,(C10-69)/12)</f>
      </c>
      <c r="G10" s="4">
        <f>$C$3/(4*F10)</f>
      </c>
      <c r="H10" s="4">
        <f>G10-$C$4*(D10/2)-$C$5*D10</f>
      </c>
      <c r="I10" s="4">
        <f>H10+1.5</f>
      </c>
      <c r="J10" s="4">
        <f>D10+2*E10</f>
      </c>
      <c r="K10" s="3">
        <v>2.35</v>
      </c>
    </row>
    <row r="11">
      <c r="A11" s="0" t="inlineStr">
        <is>
          <t>CLM-BAS-F2</t>
        </is>
      </c>
      <c r="B11" s="0" t="inlineStr">
        <is>
          <t>Bass F</t>
        </is>
      </c>
      <c r="C11" s="3">
        <v>41</v>
      </c>
      <c r="D11" s="3">
        <v>0.875</v>
      </c>
      <c r="E11" s="3">
        <v>0.3125</v>
      </c>
      <c r="F11" s="4">
        <f>440*POWER(2,(C11-69)/12)</f>
      </c>
      <c r="G11" s="4">
        <f>$C$3/(4*F11)</f>
      </c>
      <c r="H11" s="4">
        <f>G11-$C$4*(D11/2)-$C$5*D11</f>
      </c>
      <c r="I11" s="4">
        <f>H11+1.5</f>
      </c>
      <c r="J11" s="4">
        <f>D11+2*E11</f>
      </c>
      <c r="K11" s="3">
        <v>2.9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s="1" t="inlineStr">
        <is>
          <t>Tone Hole Schedule</t>
        </is>
      </c>
    </row>
    <row r="2">
      <c r="A2" s="2" t="inlineStr">
        <is>
          <t>Variant ID</t>
        </is>
      </c>
      <c r="B2" s="2" t="inlineStr">
        <is>
          <t>Hole ID</t>
        </is>
      </c>
      <c r="C2" s="2" t="inlineStr">
        <is>
          <t>Offset</t>
        </is>
      </c>
      <c r="D2" s="2" t="inlineStr">
        <is>
          <t>Note</t>
        </is>
      </c>
      <c r="E2" s="2" t="inlineStr">
        <is>
          <t>Target Hz</t>
        </is>
      </c>
      <c r="F2" s="2" t="inlineStr">
        <is>
          <t>Hole Dia in</t>
        </is>
      </c>
      <c r="G2" s="2" t="inlineStr">
        <is>
          <t>X From Bell in</t>
        </is>
      </c>
      <c r="H2" s="2" t="inlineStr">
        <is>
          <t>Control</t>
        </is>
      </c>
      <c r="I2" s="2" t="inlineStr">
        <is>
          <t>Tier</t>
        </is>
      </c>
    </row>
    <row r="3">
      <c r="A3" s="0" t="inlineStr">
        <is>
          <t>CLM-SOP-C4</t>
        </is>
      </c>
      <c r="B3" s="0" t="inlineStr">
        <is>
          <t>K01</t>
        </is>
      </c>
      <c r="C3" s="0">
        <v>1</v>
      </c>
      <c r="D3" s="0" t="inlineStr">
        <is>
          <t>C#4</t>
        </is>
      </c>
      <c r="E3" s="0">
        <v>277.18</v>
      </c>
      <c r="F3" s="3">
        <v>0.16</v>
      </c>
      <c r="G3" s="0">
        <v>0.622</v>
      </c>
      <c r="H3" s="0" t="inlineStr">
        <is>
          <t>normally closed lever</t>
        </is>
      </c>
      <c r="I3" s="0" t="inlineStr">
        <is>
          <t>two-key historical option</t>
        </is>
      </c>
    </row>
    <row r="4">
      <c r="A4" s="0" t="inlineStr">
        <is>
          <t>CLM-SOP-C4</t>
        </is>
      </c>
      <c r="B4" s="0" t="inlineStr">
        <is>
          <t>H01</t>
        </is>
      </c>
      <c r="C4" s="0">
        <v>2</v>
      </c>
      <c r="D4" s="0" t="inlineStr">
        <is>
          <t>D4</t>
        </is>
      </c>
      <c r="E4" s="0">
        <v>293.66</v>
      </c>
      <c r="F4" s="0">
        <v>0.18</v>
      </c>
      <c r="G4" s="0">
        <v>1.314</v>
      </c>
      <c r="H4" s="0" t="inlineStr">
        <is>
          <t>RH little finger</t>
        </is>
      </c>
      <c r="I4" s="0" t="inlineStr">
        <is>
          <t>keyless core</t>
        </is>
      </c>
    </row>
    <row r="5">
      <c r="A5" s="0" t="inlineStr">
        <is>
          <t>CLM-SOP-C4</t>
        </is>
      </c>
      <c r="B5" s="0" t="inlineStr">
        <is>
          <t>H02</t>
        </is>
      </c>
      <c r="C5" s="0">
        <v>4</v>
      </c>
      <c r="D5" s="0" t="inlineStr">
        <is>
          <t>E4</t>
        </is>
      </c>
      <c r="E5" s="0">
        <v>329.63</v>
      </c>
      <c r="F5" s="0">
        <v>0.19</v>
      </c>
      <c r="G5" s="0">
        <v>2.576</v>
      </c>
      <c r="H5" s="0" t="inlineStr">
        <is>
          <t>RH ring finger</t>
        </is>
      </c>
      <c r="I5" s="0" t="inlineStr">
        <is>
          <t>keyless core</t>
        </is>
      </c>
    </row>
    <row r="6">
      <c r="A6" s="0" t="inlineStr">
        <is>
          <t>CLM-SOP-C4</t>
        </is>
      </c>
      <c r="B6" s="0" t="inlineStr">
        <is>
          <t>H03</t>
        </is>
      </c>
      <c r="C6" s="0">
        <v>5</v>
      </c>
      <c r="D6" s="0" t="inlineStr">
        <is>
          <t>F4</t>
        </is>
      </c>
      <c r="E6" s="0">
        <v>349.23</v>
      </c>
      <c r="F6" s="0">
        <v>0.17</v>
      </c>
      <c r="G6" s="0">
        <v>3.147</v>
      </c>
      <c r="H6" s="0" t="inlineStr">
        <is>
          <t>RH middle finger</t>
        </is>
      </c>
      <c r="I6" s="0" t="inlineStr">
        <is>
          <t>keyless core</t>
        </is>
      </c>
    </row>
    <row r="7">
      <c r="A7" s="0" t="inlineStr">
        <is>
          <t>CLM-SOP-C4</t>
        </is>
      </c>
      <c r="B7" s="0" t="inlineStr">
        <is>
          <t>H04</t>
        </is>
      </c>
      <c r="C7" s="0">
        <v>7</v>
      </c>
      <c r="D7" s="0" t="inlineStr">
        <is>
          <t>G4</t>
        </is>
      </c>
      <c r="E7" s="0">
        <v>392.0</v>
      </c>
      <c r="F7" s="0">
        <v>0.19</v>
      </c>
      <c r="G7" s="0">
        <v>4.211</v>
      </c>
      <c r="H7" s="0" t="inlineStr">
        <is>
          <t>RH index finger</t>
        </is>
      </c>
      <c r="I7" s="0" t="inlineStr">
        <is>
          <t>keyless core</t>
        </is>
      </c>
    </row>
    <row r="8">
      <c r="A8" s="0" t="inlineStr">
        <is>
          <t>CLM-SOP-C4</t>
        </is>
      </c>
      <c r="B8" s="0" t="inlineStr">
        <is>
          <t>H05</t>
        </is>
      </c>
      <c r="C8" s="0">
        <v>9</v>
      </c>
      <c r="D8" s="0" t="inlineStr">
        <is>
          <t>A4</t>
        </is>
      </c>
      <c r="E8" s="0">
        <v>440.0</v>
      </c>
      <c r="F8" s="0">
        <v>0.2</v>
      </c>
      <c r="G8" s="0">
        <v>5.157</v>
      </c>
      <c r="H8" s="0" t="inlineStr">
        <is>
          <t>LH ring finger</t>
        </is>
      </c>
      <c r="I8" s="0" t="inlineStr">
        <is>
          <t>keyless core</t>
        </is>
      </c>
    </row>
    <row r="9">
      <c r="A9" s="0" t="inlineStr">
        <is>
          <t>CLM-SOP-C4</t>
        </is>
      </c>
      <c r="B9" s="0" t="inlineStr">
        <is>
          <t>K02</t>
        </is>
      </c>
      <c r="C9" s="0">
        <v>10</v>
      </c>
      <c r="D9" s="0" t="inlineStr">
        <is>
          <t>Bb4</t>
        </is>
      </c>
      <c r="E9" s="0">
        <v>466.16</v>
      </c>
      <c r="F9" s="3">
        <v>0.15</v>
      </c>
      <c r="G9" s="0">
        <v>5.574</v>
      </c>
      <c r="H9" s="0" t="inlineStr">
        <is>
          <t>normally closed side lever</t>
        </is>
      </c>
      <c r="I9" s="0" t="inlineStr">
        <is>
          <t>two-key historical option</t>
        </is>
      </c>
    </row>
    <row r="10">
      <c r="A10" s="0" t="inlineStr">
        <is>
          <t>CLM-SOP-C4</t>
        </is>
      </c>
      <c r="B10" s="0" t="inlineStr">
        <is>
          <t>H06</t>
        </is>
      </c>
      <c r="C10" s="0">
        <v>11</v>
      </c>
      <c r="D10" s="0" t="inlineStr">
        <is>
          <t>B4</t>
        </is>
      </c>
      <c r="E10" s="0">
        <v>493.88</v>
      </c>
      <c r="F10" s="0">
        <v>0.17</v>
      </c>
      <c r="G10" s="0">
        <v>5.988</v>
      </c>
      <c r="H10" s="0" t="inlineStr">
        <is>
          <t>LH middle finger</t>
        </is>
      </c>
      <c r="I10" s="0" t="inlineStr">
        <is>
          <t>keyless core</t>
        </is>
      </c>
    </row>
    <row r="11">
      <c r="A11" s="0" t="inlineStr">
        <is>
          <t>CLM-SOP-C4</t>
        </is>
      </c>
      <c r="B11" s="0" t="inlineStr">
        <is>
          <t>H07</t>
        </is>
      </c>
      <c r="C11" s="0">
        <v>12</v>
      </c>
      <c r="D11" s="0" t="inlineStr">
        <is>
          <t>C5</t>
        </is>
      </c>
      <c r="E11" s="0">
        <v>523.25</v>
      </c>
      <c r="F11" s="0">
        <v>0.16</v>
      </c>
      <c r="G11" s="0">
        <v>6.37</v>
      </c>
      <c r="H11" s="0" t="inlineStr">
        <is>
          <t>LH index finger</t>
        </is>
      </c>
      <c r="I11" s="0" t="inlineStr">
        <is>
          <t>keyless core</t>
        </is>
      </c>
    </row>
    <row r="12">
      <c r="A12" s="0" t="inlineStr">
        <is>
          <t>CLM-ALT-G3</t>
        </is>
      </c>
      <c r="B12" s="0" t="inlineStr">
        <is>
          <t>K01</t>
        </is>
      </c>
      <c r="C12" s="0">
        <v>1</v>
      </c>
      <c r="D12" s="0" t="inlineStr">
        <is>
          <t>Ab3</t>
        </is>
      </c>
      <c r="E12" s="0">
        <v>207.65</v>
      </c>
      <c r="F12" s="3">
        <v>0.2</v>
      </c>
      <c r="G12" s="0">
        <v>0.84</v>
      </c>
      <c r="H12" s="0" t="inlineStr">
        <is>
          <t>normally closed lever</t>
        </is>
      </c>
      <c r="I12" s="0" t="inlineStr">
        <is>
          <t>two-key historical option</t>
        </is>
      </c>
    </row>
    <row r="13">
      <c r="A13" s="0" t="inlineStr">
        <is>
          <t>CLM-ALT-G3</t>
        </is>
      </c>
      <c r="B13" s="0" t="inlineStr">
        <is>
          <t>H01</t>
        </is>
      </c>
      <c r="C13" s="0">
        <v>2</v>
      </c>
      <c r="D13" s="0" t="inlineStr">
        <is>
          <t>A3</t>
        </is>
      </c>
      <c r="E13" s="0">
        <v>220.0</v>
      </c>
      <c r="F13" s="0">
        <v>0.225</v>
      </c>
      <c r="G13" s="0">
        <v>1.763</v>
      </c>
      <c r="H13" s="0" t="inlineStr">
        <is>
          <t>RH little finger</t>
        </is>
      </c>
      <c r="I13" s="0" t="inlineStr">
        <is>
          <t>keyless core</t>
        </is>
      </c>
    </row>
    <row r="14">
      <c r="A14" s="0" t="inlineStr">
        <is>
          <t>CLM-ALT-G3</t>
        </is>
      </c>
      <c r="B14" s="0" t="inlineStr">
        <is>
          <t>H02</t>
        </is>
      </c>
      <c r="C14" s="0">
        <v>4</v>
      </c>
      <c r="D14" s="0" t="inlineStr">
        <is>
          <t>B3</t>
        </is>
      </c>
      <c r="E14" s="0">
        <v>246.94</v>
      </c>
      <c r="F14" s="0">
        <v>0.238</v>
      </c>
      <c r="G14" s="0">
        <v>3.447</v>
      </c>
      <c r="H14" s="0" t="inlineStr">
        <is>
          <t>RH ring finger</t>
        </is>
      </c>
      <c r="I14" s="0" t="inlineStr">
        <is>
          <t>keyless core</t>
        </is>
      </c>
    </row>
    <row r="15">
      <c r="A15" s="0" t="inlineStr">
        <is>
          <t>CLM-ALT-G3</t>
        </is>
      </c>
      <c r="B15" s="0" t="inlineStr">
        <is>
          <t>H03</t>
        </is>
      </c>
      <c r="C15" s="0">
        <v>5</v>
      </c>
      <c r="D15" s="0" t="inlineStr">
        <is>
          <t>C4</t>
        </is>
      </c>
      <c r="E15" s="0">
        <v>261.63</v>
      </c>
      <c r="F15" s="0">
        <v>0.213</v>
      </c>
      <c r="G15" s="0">
        <v>4.209</v>
      </c>
      <c r="H15" s="0" t="inlineStr">
        <is>
          <t>RH middle finger</t>
        </is>
      </c>
      <c r="I15" s="0" t="inlineStr">
        <is>
          <t>keyless core</t>
        </is>
      </c>
    </row>
    <row r="16">
      <c r="A16" s="0" t="inlineStr">
        <is>
          <t>CLM-ALT-G3</t>
        </is>
      </c>
      <c r="B16" s="0" t="inlineStr">
        <is>
          <t>H04</t>
        </is>
      </c>
      <c r="C16" s="0">
        <v>7</v>
      </c>
      <c r="D16" s="0" t="inlineStr">
        <is>
          <t>D4</t>
        </is>
      </c>
      <c r="E16" s="0">
        <v>293.66</v>
      </c>
      <c r="F16" s="0">
        <v>0.238</v>
      </c>
      <c r="G16" s="0">
        <v>5.63</v>
      </c>
      <c r="H16" s="0" t="inlineStr">
        <is>
          <t>RH index finger</t>
        </is>
      </c>
      <c r="I16" s="0" t="inlineStr">
        <is>
          <t>keyless core</t>
        </is>
      </c>
    </row>
    <row r="17">
      <c r="A17" s="0" t="inlineStr">
        <is>
          <t>CLM-ALT-G3</t>
        </is>
      </c>
      <c r="B17" s="0" t="inlineStr">
        <is>
          <t>H05</t>
        </is>
      </c>
      <c r="C17" s="0">
        <v>9</v>
      </c>
      <c r="D17" s="0" t="inlineStr">
        <is>
          <t>E4</t>
        </is>
      </c>
      <c r="E17" s="0">
        <v>329.63</v>
      </c>
      <c r="F17" s="0">
        <v>0.25</v>
      </c>
      <c r="G17" s="0">
        <v>6.892</v>
      </c>
      <c r="H17" s="0" t="inlineStr">
        <is>
          <t>LH ring finger</t>
        </is>
      </c>
      <c r="I17" s="0" t="inlineStr">
        <is>
          <t>keyless core</t>
        </is>
      </c>
    </row>
    <row r="18">
      <c r="A18" s="0" t="inlineStr">
        <is>
          <t>CLM-ALT-G3</t>
        </is>
      </c>
      <c r="B18" s="0" t="inlineStr">
        <is>
          <t>K02</t>
        </is>
      </c>
      <c r="C18" s="0">
        <v>10</v>
      </c>
      <c r="D18" s="0" t="inlineStr">
        <is>
          <t>F4</t>
        </is>
      </c>
      <c r="E18" s="0">
        <v>349.23</v>
      </c>
      <c r="F18" s="3">
        <v>0.188</v>
      </c>
      <c r="G18" s="0">
        <v>7.45</v>
      </c>
      <c r="H18" s="0" t="inlineStr">
        <is>
          <t>normally closed side lever</t>
        </is>
      </c>
      <c r="I18" s="0" t="inlineStr">
        <is>
          <t>two-key historical option</t>
        </is>
      </c>
    </row>
    <row r="19">
      <c r="A19" s="0" t="inlineStr">
        <is>
          <t>CLM-ALT-G3</t>
        </is>
      </c>
      <c r="B19" s="0" t="inlineStr">
        <is>
          <t>H06</t>
        </is>
      </c>
      <c r="C19" s="0">
        <v>11</v>
      </c>
      <c r="D19" s="0" t="inlineStr">
        <is>
          <t>F#4</t>
        </is>
      </c>
      <c r="E19" s="0">
        <v>369.99</v>
      </c>
      <c r="F19" s="0">
        <v>0.213</v>
      </c>
      <c r="G19" s="0">
        <v>8.002</v>
      </c>
      <c r="H19" s="0" t="inlineStr">
        <is>
          <t>LH middle finger</t>
        </is>
      </c>
      <c r="I19" s="0" t="inlineStr">
        <is>
          <t>keyless core</t>
        </is>
      </c>
    </row>
    <row r="20">
      <c r="A20" s="0" t="inlineStr">
        <is>
          <t>CLM-ALT-G3</t>
        </is>
      </c>
      <c r="B20" s="0" t="inlineStr">
        <is>
          <t>H07</t>
        </is>
      </c>
      <c r="C20" s="0">
        <v>12</v>
      </c>
      <c r="D20" s="0" t="inlineStr">
        <is>
          <t>G4</t>
        </is>
      </c>
      <c r="E20" s="0">
        <v>392.0</v>
      </c>
      <c r="F20" s="0">
        <v>0.2</v>
      </c>
      <c r="G20" s="0">
        <v>8.512</v>
      </c>
      <c r="H20" s="0" t="inlineStr">
        <is>
          <t>LH index finger</t>
        </is>
      </c>
      <c r="I20" s="0" t="inlineStr">
        <is>
          <t>keyless core</t>
        </is>
      </c>
    </row>
    <row r="21">
      <c r="A21" s="0" t="inlineStr">
        <is>
          <t>CLM-TEN-C3</t>
        </is>
      </c>
      <c r="B21" s="0" t="inlineStr">
        <is>
          <t>K01</t>
        </is>
      </c>
      <c r="C21" s="0">
        <v>1</v>
      </c>
      <c r="D21" s="0" t="inlineStr">
        <is>
          <t>C#3</t>
        </is>
      </c>
      <c r="E21" s="0">
        <v>138.59</v>
      </c>
      <c r="F21" s="3">
        <v>0.24</v>
      </c>
      <c r="G21" s="0">
        <v>1.297</v>
      </c>
      <c r="H21" s="0" t="inlineStr">
        <is>
          <t>normally closed lever</t>
        </is>
      </c>
      <c r="I21" s="0" t="inlineStr">
        <is>
          <t>two-key historical option</t>
        </is>
      </c>
    </row>
    <row r="22">
      <c r="A22" s="0" t="inlineStr">
        <is>
          <t>CLM-TEN-C3</t>
        </is>
      </c>
      <c r="B22" s="0" t="inlineStr">
        <is>
          <t>H01</t>
        </is>
      </c>
      <c r="C22" s="0">
        <v>2</v>
      </c>
      <c r="D22" s="0" t="inlineStr">
        <is>
          <t>D3</t>
        </is>
      </c>
      <c r="E22" s="0">
        <v>146.83</v>
      </c>
      <c r="F22" s="0">
        <v>0.27</v>
      </c>
      <c r="G22" s="0">
        <v>2.678</v>
      </c>
      <c r="H22" s="0" t="inlineStr">
        <is>
          <t>RH little finger</t>
        </is>
      </c>
      <c r="I22" s="0" t="inlineStr">
        <is>
          <t>keyless core</t>
        </is>
      </c>
    </row>
    <row r="23">
      <c r="A23" s="0" t="inlineStr">
        <is>
          <t>CLM-TEN-C3</t>
        </is>
      </c>
      <c r="B23" s="0" t="inlineStr">
        <is>
          <t>H02</t>
        </is>
      </c>
      <c r="C23" s="0">
        <v>4</v>
      </c>
      <c r="D23" s="0" t="inlineStr">
        <is>
          <t>E3</t>
        </is>
      </c>
      <c r="E23" s="0">
        <v>164.81</v>
      </c>
      <c r="F23" s="0">
        <v>0.285</v>
      </c>
      <c r="G23" s="0">
        <v>5.2</v>
      </c>
      <c r="H23" s="0" t="inlineStr">
        <is>
          <t>RH ring finger</t>
        </is>
      </c>
      <c r="I23" s="0" t="inlineStr">
        <is>
          <t>keyless core</t>
        </is>
      </c>
    </row>
    <row r="24">
      <c r="A24" s="0" t="inlineStr">
        <is>
          <t>CLM-TEN-C3</t>
        </is>
      </c>
      <c r="B24" s="0" t="inlineStr">
        <is>
          <t>H03</t>
        </is>
      </c>
      <c r="C24" s="0">
        <v>5</v>
      </c>
      <c r="D24" s="0" t="inlineStr">
        <is>
          <t>F3</t>
        </is>
      </c>
      <c r="E24" s="0">
        <v>174.61</v>
      </c>
      <c r="F24" s="0">
        <v>0.255</v>
      </c>
      <c r="G24" s="0">
        <v>6.345</v>
      </c>
      <c r="H24" s="0" t="inlineStr">
        <is>
          <t>RH middle finger</t>
        </is>
      </c>
      <c r="I24" s="0" t="inlineStr">
        <is>
          <t>keyless core</t>
        </is>
      </c>
    </row>
    <row r="25">
      <c r="A25" s="0" t="inlineStr">
        <is>
          <t>CLM-TEN-C3</t>
        </is>
      </c>
      <c r="B25" s="0" t="inlineStr">
        <is>
          <t>H04</t>
        </is>
      </c>
      <c r="C25" s="0">
        <v>7</v>
      </c>
      <c r="D25" s="0" t="inlineStr">
        <is>
          <t>G3</t>
        </is>
      </c>
      <c r="E25" s="0">
        <v>196.0</v>
      </c>
      <c r="F25" s="0">
        <v>0.285</v>
      </c>
      <c r="G25" s="0">
        <v>8.47</v>
      </c>
      <c r="H25" s="0" t="inlineStr">
        <is>
          <t>RH index finger</t>
        </is>
      </c>
      <c r="I25" s="0" t="inlineStr">
        <is>
          <t>keyless core</t>
        </is>
      </c>
    </row>
    <row r="26">
      <c r="A26" s="0" t="inlineStr">
        <is>
          <t>CLM-TEN-C3</t>
        </is>
      </c>
      <c r="B26" s="0" t="inlineStr">
        <is>
          <t>H05</t>
        </is>
      </c>
      <c r="C26" s="0">
        <v>9</v>
      </c>
      <c r="D26" s="0" t="inlineStr">
        <is>
          <t>A3</t>
        </is>
      </c>
      <c r="E26" s="0">
        <v>220.0</v>
      </c>
      <c r="F26" s="0">
        <v>0.3</v>
      </c>
      <c r="G26" s="0">
        <v>10.361</v>
      </c>
      <c r="H26" s="0" t="inlineStr">
        <is>
          <t>LH ring finger</t>
        </is>
      </c>
      <c r="I26" s="0" t="inlineStr">
        <is>
          <t>keyless core</t>
        </is>
      </c>
    </row>
    <row r="27">
      <c r="A27" s="0" t="inlineStr">
        <is>
          <t>CLM-TEN-C3</t>
        </is>
      </c>
      <c r="B27" s="0" t="inlineStr">
        <is>
          <t>K02</t>
        </is>
      </c>
      <c r="C27" s="0">
        <v>10</v>
      </c>
      <c r="D27" s="0" t="inlineStr">
        <is>
          <t>Bb3</t>
        </is>
      </c>
      <c r="E27" s="0">
        <v>233.08</v>
      </c>
      <c r="F27" s="3">
        <v>0.225</v>
      </c>
      <c r="G27" s="0">
        <v>11.203</v>
      </c>
      <c r="H27" s="0" t="inlineStr">
        <is>
          <t>normally closed side lever</t>
        </is>
      </c>
      <c r="I27" s="0" t="inlineStr">
        <is>
          <t>two-key historical option</t>
        </is>
      </c>
    </row>
    <row r="28">
      <c r="A28" s="0" t="inlineStr">
        <is>
          <t>CLM-TEN-C3</t>
        </is>
      </c>
      <c r="B28" s="0" t="inlineStr">
        <is>
          <t>H06</t>
        </is>
      </c>
      <c r="C28" s="0">
        <v>11</v>
      </c>
      <c r="D28" s="0" t="inlineStr">
        <is>
          <t>B3</t>
        </is>
      </c>
      <c r="E28" s="0">
        <v>246.94</v>
      </c>
      <c r="F28" s="0">
        <v>0.255</v>
      </c>
      <c r="G28" s="0">
        <v>12.028</v>
      </c>
      <c r="H28" s="0" t="inlineStr">
        <is>
          <t>LH middle finger</t>
        </is>
      </c>
      <c r="I28" s="0" t="inlineStr">
        <is>
          <t>keyless core</t>
        </is>
      </c>
    </row>
    <row r="29">
      <c r="A29" s="0" t="inlineStr">
        <is>
          <t>CLM-TEN-C3</t>
        </is>
      </c>
      <c r="B29" s="0" t="inlineStr">
        <is>
          <t>H07</t>
        </is>
      </c>
      <c r="C29" s="0">
        <v>12</v>
      </c>
      <c r="D29" s="0" t="inlineStr">
        <is>
          <t>C4</t>
        </is>
      </c>
      <c r="E29" s="0">
        <v>261.63</v>
      </c>
      <c r="F29" s="0">
        <v>0.24</v>
      </c>
      <c r="G29" s="0">
        <v>12.793</v>
      </c>
      <c r="H29" s="0" t="inlineStr">
        <is>
          <t>LH index finger</t>
        </is>
      </c>
      <c r="I29" s="0" t="inlineStr">
        <is>
          <t>keyless core</t>
        </is>
      </c>
    </row>
    <row r="30">
      <c r="A30" s="0" t="inlineStr">
        <is>
          <t>CLM-BAS-F2</t>
        </is>
      </c>
      <c r="B30" s="0" t="inlineStr">
        <is>
          <t>K01</t>
        </is>
      </c>
      <c r="C30" s="0">
        <v>1</v>
      </c>
      <c r="D30" s="0" t="inlineStr">
        <is>
          <t>F#2</t>
        </is>
      </c>
      <c r="E30" s="0">
        <v>92.5</v>
      </c>
      <c r="F30" s="3">
        <v>0.28</v>
      </c>
      <c r="G30" s="0">
        <v>1.995</v>
      </c>
      <c r="H30" s="0" t="inlineStr">
        <is>
          <t>normally closed lever</t>
        </is>
      </c>
      <c r="I30" s="0" t="inlineStr">
        <is>
          <t>two-key historical option</t>
        </is>
      </c>
    </row>
    <row r="31">
      <c r="A31" s="0" t="inlineStr">
        <is>
          <t>CLM-BAS-F2</t>
        </is>
      </c>
      <c r="B31" s="0" t="inlineStr">
        <is>
          <t>H01</t>
        </is>
      </c>
      <c r="C31" s="0">
        <v>2</v>
      </c>
      <c r="D31" s="0" t="inlineStr">
        <is>
          <t>G2</t>
        </is>
      </c>
      <c r="E31" s="0">
        <v>98.0</v>
      </c>
      <c r="F31" s="0">
        <v>0.315</v>
      </c>
      <c r="G31" s="0">
        <v>4.061</v>
      </c>
      <c r="H31" s="0" t="inlineStr">
        <is>
          <t>RH little finger</t>
        </is>
      </c>
      <c r="I31" s="0" t="inlineStr">
        <is>
          <t>keyless core</t>
        </is>
      </c>
    </row>
    <row r="32">
      <c r="A32" s="0" t="inlineStr">
        <is>
          <t>CLM-BAS-F2</t>
        </is>
      </c>
      <c r="B32" s="0" t="inlineStr">
        <is>
          <t>H02</t>
        </is>
      </c>
      <c r="C32" s="0">
        <v>4</v>
      </c>
      <c r="D32" s="0" t="inlineStr">
        <is>
          <t>A2</t>
        </is>
      </c>
      <c r="E32" s="0">
        <v>110.0</v>
      </c>
      <c r="F32" s="0">
        <v>0.333</v>
      </c>
      <c r="G32" s="0">
        <v>7.838</v>
      </c>
      <c r="H32" s="0" t="inlineStr">
        <is>
          <t>RH ring finger</t>
        </is>
      </c>
      <c r="I32" s="0" t="inlineStr">
        <is>
          <t>keyless core</t>
        </is>
      </c>
    </row>
    <row r="33">
      <c r="A33" s="0" t="inlineStr">
        <is>
          <t>CLM-BAS-F2</t>
        </is>
      </c>
      <c r="B33" s="0" t="inlineStr">
        <is>
          <t>H03</t>
        </is>
      </c>
      <c r="C33" s="0">
        <v>5</v>
      </c>
      <c r="D33" s="0" t="inlineStr">
        <is>
          <t>Bb2</t>
        </is>
      </c>
      <c r="E33" s="0">
        <v>116.54</v>
      </c>
      <c r="F33" s="0">
        <v>0.298</v>
      </c>
      <c r="G33" s="0">
        <v>9.557</v>
      </c>
      <c r="H33" s="0" t="inlineStr">
        <is>
          <t>RH middle finger</t>
        </is>
      </c>
      <c r="I33" s="0" t="inlineStr">
        <is>
          <t>keyless core</t>
        </is>
      </c>
    </row>
    <row r="34">
      <c r="A34" s="0" t="inlineStr">
        <is>
          <t>CLM-BAS-F2</t>
        </is>
      </c>
      <c r="B34" s="0" t="inlineStr">
        <is>
          <t>H04</t>
        </is>
      </c>
      <c r="C34" s="0">
        <v>7</v>
      </c>
      <c r="D34" s="0" t="inlineStr">
        <is>
          <t>C3</t>
        </is>
      </c>
      <c r="E34" s="0">
        <v>130.81</v>
      </c>
      <c r="F34" s="0">
        <v>0.333</v>
      </c>
      <c r="G34" s="0">
        <v>12.739</v>
      </c>
      <c r="H34" s="0" t="inlineStr">
        <is>
          <t>RH index finger</t>
        </is>
      </c>
      <c r="I34" s="0" t="inlineStr">
        <is>
          <t>keyless core</t>
        </is>
      </c>
    </row>
    <row r="35">
      <c r="A35" s="0" t="inlineStr">
        <is>
          <t>CLM-BAS-F2</t>
        </is>
      </c>
      <c r="B35" s="0" t="inlineStr">
        <is>
          <t>H05</t>
        </is>
      </c>
      <c r="C35" s="0">
        <v>9</v>
      </c>
      <c r="D35" s="0" t="inlineStr">
        <is>
          <t>D3</t>
        </is>
      </c>
      <c r="E35" s="0">
        <v>146.83</v>
      </c>
      <c r="F35" s="0">
        <v>0.35</v>
      </c>
      <c r="G35" s="0">
        <v>15.57</v>
      </c>
      <c r="H35" s="0" t="inlineStr">
        <is>
          <t>LH ring finger</t>
        </is>
      </c>
      <c r="I35" s="0" t="inlineStr">
        <is>
          <t>keyless core</t>
        </is>
      </c>
    </row>
    <row r="36">
      <c r="A36" s="0" t="inlineStr">
        <is>
          <t>CLM-BAS-F2</t>
        </is>
      </c>
      <c r="B36" s="0" t="inlineStr">
        <is>
          <t>K02</t>
        </is>
      </c>
      <c r="C36" s="0">
        <v>10</v>
      </c>
      <c r="D36" s="0" t="inlineStr">
        <is>
          <t>Eb3</t>
        </is>
      </c>
      <c r="E36" s="0">
        <v>155.56</v>
      </c>
      <c r="F36" s="3">
        <v>0.263</v>
      </c>
      <c r="G36" s="0">
        <v>16.839</v>
      </c>
      <c r="H36" s="0" t="inlineStr">
        <is>
          <t>normally closed side lever</t>
        </is>
      </c>
      <c r="I36" s="0" t="inlineStr">
        <is>
          <t>two-key historical option</t>
        </is>
      </c>
    </row>
    <row r="37">
      <c r="A37" s="0" t="inlineStr">
        <is>
          <t>CLM-BAS-F2</t>
        </is>
      </c>
      <c r="B37" s="0" t="inlineStr">
        <is>
          <t>H06</t>
        </is>
      </c>
      <c r="C37" s="0">
        <v>11</v>
      </c>
      <c r="D37" s="0" t="inlineStr">
        <is>
          <t>E3</t>
        </is>
      </c>
      <c r="E37" s="0">
        <v>164.81</v>
      </c>
      <c r="F37" s="0">
        <v>0.298</v>
      </c>
      <c r="G37" s="0">
        <v>18.071</v>
      </c>
      <c r="H37" s="0" t="inlineStr">
        <is>
          <t>LH middle finger</t>
        </is>
      </c>
      <c r="I37" s="0" t="inlineStr">
        <is>
          <t>keyless core</t>
        </is>
      </c>
    </row>
    <row r="38">
      <c r="A38" s="0" t="inlineStr">
        <is>
          <t>CLM-BAS-F2</t>
        </is>
      </c>
      <c r="B38" s="0" t="inlineStr">
        <is>
          <t>H07</t>
        </is>
      </c>
      <c r="C38" s="0">
        <v>12</v>
      </c>
      <c r="D38" s="0" t="inlineStr">
        <is>
          <t>F3</t>
        </is>
      </c>
      <c r="E38" s="0">
        <v>174.61</v>
      </c>
      <c r="F38" s="0">
        <v>0.28</v>
      </c>
      <c r="G38" s="0">
        <v>19.22</v>
      </c>
      <c r="H38" s="0" t="inlineStr">
        <is>
          <t>LH index finger</t>
        </is>
      </c>
      <c r="I38" s="0" t="inlineStr">
        <is>
          <t>keyless core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s="1" t="inlineStr">
        <is>
          <t>Keywork Levers</t>
        </is>
      </c>
    </row>
    <row r="2">
      <c r="A2" s="2" t="inlineStr">
        <is>
          <t>part_id</t>
        </is>
      </c>
      <c r="B2" s="2" t="inlineStr">
        <is>
          <t>variant</t>
        </is>
      </c>
      <c r="C2" s="2" t="inlineStr">
        <is>
          <t>key_function</t>
        </is>
      </c>
      <c r="D2" s="2" t="inlineStr">
        <is>
          <t>tone_hole_note</t>
        </is>
      </c>
      <c r="E2" s="2" t="inlineStr">
        <is>
          <t>tone_hole_dia_in</t>
        </is>
      </c>
      <c r="F2" s="2" t="inlineStr">
        <is>
          <t>pad_od_in</t>
        </is>
      </c>
      <c r="G2" s="2" t="inlineStr">
        <is>
          <t>lever_length_in</t>
        </is>
      </c>
      <c r="H2" s="2" t="inlineStr">
        <is>
          <t>pivot_rod_in</t>
        </is>
      </c>
      <c r="I2" s="2" t="inlineStr">
        <is>
          <t>sheet_thickness_in</t>
        </is>
      </c>
      <c r="J2" s="2" t="inlineStr">
        <is>
          <t>spring</t>
        </is>
      </c>
      <c r="K2" s="2" t="inlineStr">
        <is>
          <t>default_state</t>
        </is>
      </c>
      <c r="L2" s="2" t="inlineStr">
        <is>
          <t>drawing_ref</t>
        </is>
      </c>
    </row>
    <row r="3">
      <c r="A3" s="0" t="inlineStr">
        <is>
          <t>CLM-SOP-C4-K01</t>
        </is>
      </c>
      <c r="B3" s="0" t="inlineStr">
        <is>
          <t>Soprano C</t>
        </is>
      </c>
      <c r="C3" s="0" t="inlineStr">
        <is>
          <t>root sharp semitone</t>
        </is>
      </c>
      <c r="D3" s="0" t="inlineStr">
        <is>
          <t>C#4</t>
        </is>
      </c>
      <c r="E3" s="3" t="inlineStr">
        <is>
          <t>0.16</t>
        </is>
      </c>
      <c r="F3" s="3" t="inlineStr">
        <is>
          <t>0.27</t>
        </is>
      </c>
      <c r="G3" s="3" t="inlineStr">
        <is>
          <t>1.75</t>
        </is>
      </c>
      <c r="H3" s="0" t="inlineStr">
        <is>
          <t>0.0625</t>
        </is>
      </c>
      <c r="I3" s="0" t="inlineStr">
        <is>
          <t>0.050</t>
        </is>
      </c>
      <c r="J3" s="0" t="inlineStr">
        <is>
          <t>0.012-0.018 in phosphor bronze needle or flat spring</t>
        </is>
      </c>
      <c r="K3" s="0" t="inlineStr">
        <is>
          <t>closed pad; press lever to open</t>
        </is>
      </c>
      <c r="L3" s="0" t="inlineStr">
        <is>
          <t>drawings/keywork-lever-detail.svg</t>
        </is>
      </c>
    </row>
    <row r="4">
      <c r="A4" s="0" t="inlineStr">
        <is>
          <t>CLM-SOP-C4-K02</t>
        </is>
      </c>
      <c r="B4" s="0" t="inlineStr">
        <is>
          <t>Soprano C</t>
        </is>
      </c>
      <c r="C4" s="0" t="inlineStr">
        <is>
          <t>upper chromatic</t>
        </is>
      </c>
      <c r="D4" s="0" t="inlineStr">
        <is>
          <t>Bb4</t>
        </is>
      </c>
      <c r="E4" s="3" t="inlineStr">
        <is>
          <t>0.15</t>
        </is>
      </c>
      <c r="F4" s="3" t="inlineStr">
        <is>
          <t>0.26</t>
        </is>
      </c>
      <c r="G4" s="3" t="inlineStr">
        <is>
          <t>4.5</t>
        </is>
      </c>
      <c r="H4" s="0" t="inlineStr">
        <is>
          <t>0.0625</t>
        </is>
      </c>
      <c r="I4" s="0" t="inlineStr">
        <is>
          <t>0.050</t>
        </is>
      </c>
      <c r="J4" s="0" t="inlineStr">
        <is>
          <t>0.012-0.018 in phosphor bronze needle or flat spring</t>
        </is>
      </c>
      <c r="K4" s="0" t="inlineStr">
        <is>
          <t>closed pad; press lever to open</t>
        </is>
      </c>
      <c r="L4" s="0" t="inlineStr">
        <is>
          <t>drawings/keywork-lever-detail.svg</t>
        </is>
      </c>
    </row>
    <row r="5">
      <c r="A5" s="0" t="inlineStr">
        <is>
          <t>CLM-ALT-G3-K01</t>
        </is>
      </c>
      <c r="B5" s="0" t="inlineStr">
        <is>
          <t>Alto G</t>
        </is>
      </c>
      <c r="C5" s="0" t="inlineStr">
        <is>
          <t>root sharp semitone</t>
        </is>
      </c>
      <c r="D5" s="0" t="inlineStr">
        <is>
          <t>Ab3</t>
        </is>
      </c>
      <c r="E5" s="3" t="inlineStr">
        <is>
          <t>0.2</t>
        </is>
      </c>
      <c r="F5" s="3" t="inlineStr">
        <is>
          <t>0.31</t>
        </is>
      </c>
      <c r="G5" s="3" t="inlineStr">
        <is>
          <t>1.75</t>
        </is>
      </c>
      <c r="H5" s="0" t="inlineStr">
        <is>
          <t>0.0625</t>
        </is>
      </c>
      <c r="I5" s="0" t="inlineStr">
        <is>
          <t>0.050</t>
        </is>
      </c>
      <c r="J5" s="0" t="inlineStr">
        <is>
          <t>0.012-0.018 in phosphor bronze needle or flat spring</t>
        </is>
      </c>
      <c r="K5" s="0" t="inlineStr">
        <is>
          <t>closed pad; press lever to open</t>
        </is>
      </c>
      <c r="L5" s="0" t="inlineStr">
        <is>
          <t>drawings/keywork-lever-detail.svg</t>
        </is>
      </c>
    </row>
    <row r="6">
      <c r="A6" s="0" t="inlineStr">
        <is>
          <t>CLM-ALT-G3-K02</t>
        </is>
      </c>
      <c r="B6" s="0" t="inlineStr">
        <is>
          <t>Alto G</t>
        </is>
      </c>
      <c r="C6" s="0" t="inlineStr">
        <is>
          <t>upper chromatic</t>
        </is>
      </c>
      <c r="D6" s="0" t="inlineStr">
        <is>
          <t>F4</t>
        </is>
      </c>
      <c r="E6" s="3" t="inlineStr">
        <is>
          <t>0.188</t>
        </is>
      </c>
      <c r="F6" s="3" t="inlineStr">
        <is>
          <t>0.298</t>
        </is>
      </c>
      <c r="G6" s="3" t="inlineStr">
        <is>
          <t>4.5</t>
        </is>
      </c>
      <c r="H6" s="0" t="inlineStr">
        <is>
          <t>0.0625</t>
        </is>
      </c>
      <c r="I6" s="0" t="inlineStr">
        <is>
          <t>0.050</t>
        </is>
      </c>
      <c r="J6" s="0" t="inlineStr">
        <is>
          <t>0.012-0.018 in phosphor bronze needle or flat spring</t>
        </is>
      </c>
      <c r="K6" s="0" t="inlineStr">
        <is>
          <t>closed pad; press lever to open</t>
        </is>
      </c>
      <c r="L6" s="0" t="inlineStr">
        <is>
          <t>drawings/keywork-lever-detail.svg</t>
        </is>
      </c>
    </row>
    <row r="7">
      <c r="A7" s="0" t="inlineStr">
        <is>
          <t>CLM-TEN-C3-K01</t>
        </is>
      </c>
      <c r="B7" s="0" t="inlineStr">
        <is>
          <t>Tenor C</t>
        </is>
      </c>
      <c r="C7" s="0" t="inlineStr">
        <is>
          <t>root sharp semitone</t>
        </is>
      </c>
      <c r="D7" s="0" t="inlineStr">
        <is>
          <t>C#3</t>
        </is>
      </c>
      <c r="E7" s="3" t="inlineStr">
        <is>
          <t>0.24</t>
        </is>
      </c>
      <c r="F7" s="3" t="inlineStr">
        <is>
          <t>0.35</t>
        </is>
      </c>
      <c r="G7" s="3" t="inlineStr">
        <is>
          <t>2.047</t>
        </is>
      </c>
      <c r="H7" s="0" t="inlineStr">
        <is>
          <t>0.0625</t>
        </is>
      </c>
      <c r="I7" s="0" t="inlineStr">
        <is>
          <t>0.050</t>
        </is>
      </c>
      <c r="J7" s="0" t="inlineStr">
        <is>
          <t>0.012-0.018 in phosphor bronze needle or flat spring</t>
        </is>
      </c>
      <c r="K7" s="0" t="inlineStr">
        <is>
          <t>closed pad; press lever to open</t>
        </is>
      </c>
      <c r="L7" s="0" t="inlineStr">
        <is>
          <t>drawings/keywork-lever-detail.svg</t>
        </is>
      </c>
    </row>
    <row r="8">
      <c r="A8" s="0" t="inlineStr">
        <is>
          <t>CLM-TEN-C3-K02</t>
        </is>
      </c>
      <c r="B8" s="0" t="inlineStr">
        <is>
          <t>Tenor C</t>
        </is>
      </c>
      <c r="C8" s="0" t="inlineStr">
        <is>
          <t>upper chromatic</t>
        </is>
      </c>
      <c r="D8" s="0" t="inlineStr">
        <is>
          <t>Bb3</t>
        </is>
      </c>
      <c r="E8" s="3" t="inlineStr">
        <is>
          <t>0.225</t>
        </is>
      </c>
      <c r="F8" s="3" t="inlineStr">
        <is>
          <t>0.335</t>
        </is>
      </c>
      <c r="G8" s="3" t="inlineStr">
        <is>
          <t>4.5</t>
        </is>
      </c>
      <c r="H8" s="0" t="inlineStr">
        <is>
          <t>0.0625</t>
        </is>
      </c>
      <c r="I8" s="0" t="inlineStr">
        <is>
          <t>0.050</t>
        </is>
      </c>
      <c r="J8" s="0" t="inlineStr">
        <is>
          <t>0.012-0.018 in phosphor bronze needle or flat spring</t>
        </is>
      </c>
      <c r="K8" s="0" t="inlineStr">
        <is>
          <t>closed pad; press lever to open</t>
        </is>
      </c>
      <c r="L8" s="0" t="inlineStr">
        <is>
          <t>drawings/keywork-lever-detail.svg</t>
        </is>
      </c>
    </row>
    <row r="9">
      <c r="A9" s="0" t="inlineStr">
        <is>
          <t>CLM-BAS-F2-K01</t>
        </is>
      </c>
      <c r="B9" s="0" t="inlineStr">
        <is>
          <t>Bass F</t>
        </is>
      </c>
      <c r="C9" s="0" t="inlineStr">
        <is>
          <t>root sharp semitone</t>
        </is>
      </c>
      <c r="D9" s="0" t="inlineStr">
        <is>
          <t>F#2</t>
        </is>
      </c>
      <c r="E9" s="3" t="inlineStr">
        <is>
          <t>0.28</t>
        </is>
      </c>
      <c r="F9" s="3" t="inlineStr">
        <is>
          <t>0.39</t>
        </is>
      </c>
      <c r="G9" s="3" t="inlineStr">
        <is>
          <t>2.745</t>
        </is>
      </c>
      <c r="H9" s="0" t="inlineStr">
        <is>
          <t>0.0625</t>
        </is>
      </c>
      <c r="I9" s="0" t="inlineStr">
        <is>
          <t>0.050</t>
        </is>
      </c>
      <c r="J9" s="0" t="inlineStr">
        <is>
          <t>0.012-0.018 in phosphor bronze needle or flat spring</t>
        </is>
      </c>
      <c r="K9" s="0" t="inlineStr">
        <is>
          <t>closed pad; press lever to open</t>
        </is>
      </c>
      <c r="L9" s="0" t="inlineStr">
        <is>
          <t>drawings/keywork-lever-detail.svg</t>
        </is>
      </c>
    </row>
    <row r="10">
      <c r="A10" s="0" t="inlineStr">
        <is>
          <t>CLM-BAS-F2-K02</t>
        </is>
      </c>
      <c r="B10" s="0" t="inlineStr">
        <is>
          <t>Bass F</t>
        </is>
      </c>
      <c r="C10" s="0" t="inlineStr">
        <is>
          <t>upper chromatic</t>
        </is>
      </c>
      <c r="D10" s="0" t="inlineStr">
        <is>
          <t>Eb3</t>
        </is>
      </c>
      <c r="E10" s="3" t="inlineStr">
        <is>
          <t>0.263</t>
        </is>
      </c>
      <c r="F10" s="3" t="inlineStr">
        <is>
          <t>0.373</t>
        </is>
      </c>
      <c r="G10" s="3" t="inlineStr">
        <is>
          <t>4.5</t>
        </is>
      </c>
      <c r="H10" s="0" t="inlineStr">
        <is>
          <t>0.0625</t>
        </is>
      </c>
      <c r="I10" s="0" t="inlineStr">
        <is>
          <t>0.050</t>
        </is>
      </c>
      <c r="J10" s="0" t="inlineStr">
        <is>
          <t>0.012-0.018 in phosphor bronze needle or flat spring</t>
        </is>
      </c>
      <c r="K10" s="0" t="inlineStr">
        <is>
          <t>closed pad; press lever to open</t>
        </is>
      </c>
      <c r="L10" s="0" t="inlineStr">
        <is>
          <t>drawings/keywork-lever-detail.svg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s="1" t="inlineStr">
        <is>
          <t>SolidWorks Export</t>
        </is>
      </c>
    </row>
    <row r="2">
      <c r="A2" s="2" t="inlineStr">
        <is>
          <t>$CONFIGURATION</t>
        </is>
      </c>
      <c r="B2" s="2" t="inlineStr">
        <is>
          <t>$DESCRIPTION</t>
        </is>
      </c>
      <c r="C2" s="2" t="inlineStr">
        <is>
          <t>CLM_Root_MIDI</t>
        </is>
      </c>
      <c r="D2" s="2" t="inlineStr">
        <is>
          <t>CLM_Root_Hz</t>
        </is>
      </c>
      <c r="E2" s="2" t="inlineStr">
        <is>
          <t>CLM_SOS_in_per_s</t>
        </is>
      </c>
      <c r="F2" s="2" t="inlineStr">
        <is>
          <t>CLM_Bore_ID_in</t>
        </is>
      </c>
      <c r="G2" s="2" t="inlineStr">
        <is>
          <t>CLM_Wall_T_in</t>
        </is>
      </c>
      <c r="H2" s="2" t="inlineStr">
        <is>
          <t>CLM_Body_OD_in</t>
        </is>
      </c>
      <c r="I2" s="2" t="inlineStr">
        <is>
          <t>CLM_Bell_OD_in</t>
        </is>
      </c>
      <c r="J2" s="2" t="inlineStr">
        <is>
          <t>CLM_Body_L_Final_in</t>
        </is>
      </c>
      <c r="K2" s="2" t="inlineStr">
        <is>
          <t>CLM_Blank_L_in</t>
        </is>
      </c>
      <c r="L2" s="2" t="inlineStr">
        <is>
          <t>CLM_K01_X_Bell_in</t>
        </is>
      </c>
      <c r="M2" s="2" t="inlineStr">
        <is>
          <t>CLM_K01_Dia_in</t>
        </is>
      </c>
      <c r="N2" s="2" t="inlineStr">
        <is>
          <t>CLM_H01_X_Bell_in</t>
        </is>
      </c>
      <c r="O2" s="2" t="inlineStr">
        <is>
          <t>CLM_H01_Dia_in</t>
        </is>
      </c>
      <c r="P2" s="2" t="inlineStr">
        <is>
          <t>CLM_H02_X_Bell_in</t>
        </is>
      </c>
      <c r="Q2" s="2" t="inlineStr">
        <is>
          <t>CLM_H02_Dia_in</t>
        </is>
      </c>
      <c r="R2" s="2" t="inlineStr">
        <is>
          <t>CLM_H03_X_Bell_in</t>
        </is>
      </c>
      <c r="S2" s="2" t="inlineStr">
        <is>
          <t>CLM_H03_Dia_in</t>
        </is>
      </c>
      <c r="T2" s="2" t="inlineStr">
        <is>
          <t>CLM_H04_X_Bell_in</t>
        </is>
      </c>
      <c r="U2" s="2" t="inlineStr">
        <is>
          <t>CLM_H04_Dia_in</t>
        </is>
      </c>
      <c r="V2" s="2" t="inlineStr">
        <is>
          <t>CLM_H05_X_Bell_in</t>
        </is>
      </c>
      <c r="W2" s="2" t="inlineStr">
        <is>
          <t>CLM_H05_Dia_in</t>
        </is>
      </c>
      <c r="X2" s="2" t="inlineStr">
        <is>
          <t>CLM_K02_X_Bell_in</t>
        </is>
      </c>
      <c r="Y2" s="2" t="inlineStr">
        <is>
          <t>CLM_K02_Dia_in</t>
        </is>
      </c>
      <c r="Z2" s="2" t="inlineStr">
        <is>
          <t>CLM_H06_X_Bell_in</t>
        </is>
      </c>
      <c r="AA2" s="2" t="inlineStr">
        <is>
          <t>CLM_H06_Dia_in</t>
        </is>
      </c>
      <c r="AB2" s="2" t="inlineStr">
        <is>
          <t>CLM_H07_X_Bell_in</t>
        </is>
      </c>
      <c r="AC2" s="2" t="inlineStr">
        <is>
          <t>CLM_H07_Dia_in</t>
        </is>
      </c>
    </row>
    <row r="3">
      <c r="A3" s="0" t="inlineStr">
        <is>
          <t>CLM-SOP-C4</t>
        </is>
      </c>
      <c r="B3" s="0" t="inlineStr">
        <is>
          <t>Soprano C</t>
        </is>
      </c>
      <c r="C3" s="0" t="inlineStr">
        <is>
          <t>60</t>
        </is>
      </c>
      <c r="D3" s="0" t="inlineStr">
        <is>
          <t>261.63</t>
        </is>
      </c>
      <c r="E3" s="0" t="inlineStr">
        <is>
          <t>13552.0</t>
        </is>
      </c>
      <c r="F3" s="0" t="inlineStr">
        <is>
          <t>0.5</t>
        </is>
      </c>
      <c r="G3" s="0" t="inlineStr">
        <is>
          <t>0.188</t>
        </is>
      </c>
      <c r="H3" s="0" t="inlineStr">
        <is>
          <t>0.875</t>
        </is>
      </c>
      <c r="I3" s="0" t="inlineStr">
        <is>
          <t>1.65</t>
        </is>
      </c>
      <c r="J3" s="0" t="inlineStr">
        <is>
          <t>12.672</t>
        </is>
      </c>
      <c r="K3" s="0" t="inlineStr">
        <is>
          <t>14.172</t>
        </is>
      </c>
      <c r="L3" s="0" t="inlineStr">
        <is>
          <t>0.622</t>
        </is>
      </c>
      <c r="M3" s="0" t="inlineStr">
        <is>
          <t>0.16</t>
        </is>
      </c>
      <c r="N3" s="0" t="inlineStr">
        <is>
          <t>1.314</t>
        </is>
      </c>
      <c r="O3" s="0" t="inlineStr">
        <is>
          <t>0.18</t>
        </is>
      </c>
      <c r="P3" s="0" t="inlineStr">
        <is>
          <t>2.576</t>
        </is>
      </c>
      <c r="Q3" s="0" t="inlineStr">
        <is>
          <t>0.19</t>
        </is>
      </c>
      <c r="R3" s="0" t="inlineStr">
        <is>
          <t>3.147</t>
        </is>
      </c>
      <c r="S3" s="0" t="inlineStr">
        <is>
          <t>0.17</t>
        </is>
      </c>
      <c r="T3" s="0" t="inlineStr">
        <is>
          <t>4.211</t>
        </is>
      </c>
      <c r="U3" s="0" t="inlineStr">
        <is>
          <t>0.19</t>
        </is>
      </c>
      <c r="V3" s="0" t="inlineStr">
        <is>
          <t>5.157</t>
        </is>
      </c>
      <c r="W3" s="0" t="inlineStr">
        <is>
          <t>0.2</t>
        </is>
      </c>
      <c r="X3" s="0" t="inlineStr">
        <is>
          <t>5.574</t>
        </is>
      </c>
      <c r="Y3" s="0" t="inlineStr">
        <is>
          <t>0.15</t>
        </is>
      </c>
      <c r="Z3" s="0" t="inlineStr">
        <is>
          <t>5.988</t>
        </is>
      </c>
      <c r="AA3" s="0" t="inlineStr">
        <is>
          <t>0.17</t>
        </is>
      </c>
      <c r="AB3" s="0" t="inlineStr">
        <is>
          <t>6.37</t>
        </is>
      </c>
      <c r="AC3" s="0" t="inlineStr">
        <is>
          <t>0.16</t>
        </is>
      </c>
    </row>
    <row r="4">
      <c r="A4" s="0" t="inlineStr">
        <is>
          <t>CLM-ALT-G3</t>
        </is>
      </c>
      <c r="B4" s="0" t="inlineStr">
        <is>
          <t>Alto G</t>
        </is>
      </c>
      <c r="C4" s="0" t="inlineStr">
        <is>
          <t>55</t>
        </is>
      </c>
      <c r="D4" s="0" t="inlineStr">
        <is>
          <t>196.0</t>
        </is>
      </c>
      <c r="E4" s="0" t="inlineStr">
        <is>
          <t>13552.0</t>
        </is>
      </c>
      <c r="F4" s="0" t="inlineStr">
        <is>
          <t>0.625</t>
        </is>
      </c>
      <c r="G4" s="0" t="inlineStr">
        <is>
          <t>0.219</t>
        </is>
      </c>
      <c r="H4" s="0" t="inlineStr">
        <is>
          <t>1.063</t>
        </is>
      </c>
      <c r="I4" s="0" t="inlineStr">
        <is>
          <t>1.95</t>
        </is>
      </c>
      <c r="J4" s="0" t="inlineStr">
        <is>
          <t>16.939</t>
        </is>
      </c>
      <c r="K4" s="0" t="inlineStr">
        <is>
          <t>18.439</t>
        </is>
      </c>
      <c r="L4" s="0" t="inlineStr">
        <is>
          <t>0.84</t>
        </is>
      </c>
      <c r="M4" s="0" t="inlineStr">
        <is>
          <t>0.2</t>
        </is>
      </c>
      <c r="N4" s="0" t="inlineStr">
        <is>
          <t>1.763</t>
        </is>
      </c>
      <c r="O4" s="0" t="inlineStr">
        <is>
          <t>0.225</t>
        </is>
      </c>
      <c r="P4" s="0" t="inlineStr">
        <is>
          <t>3.447</t>
        </is>
      </c>
      <c r="Q4" s="0" t="inlineStr">
        <is>
          <t>0.238</t>
        </is>
      </c>
      <c r="R4" s="0" t="inlineStr">
        <is>
          <t>4.209</t>
        </is>
      </c>
      <c r="S4" s="0" t="inlineStr">
        <is>
          <t>0.213</t>
        </is>
      </c>
      <c r="T4" s="0" t="inlineStr">
        <is>
          <t>5.63</t>
        </is>
      </c>
      <c r="U4" s="0" t="inlineStr">
        <is>
          <t>0.238</t>
        </is>
      </c>
      <c r="V4" s="0" t="inlineStr">
        <is>
          <t>6.892</t>
        </is>
      </c>
      <c r="W4" s="0" t="inlineStr">
        <is>
          <t>0.25</t>
        </is>
      </c>
      <c r="X4" s="0" t="inlineStr">
        <is>
          <t>7.45</t>
        </is>
      </c>
      <c r="Y4" s="0" t="inlineStr">
        <is>
          <t>0.188</t>
        </is>
      </c>
      <c r="Z4" s="0" t="inlineStr">
        <is>
          <t>8.002</t>
        </is>
      </c>
      <c r="AA4" s="0" t="inlineStr">
        <is>
          <t>0.213</t>
        </is>
      </c>
      <c r="AB4" s="0" t="inlineStr">
        <is>
          <t>8.512</t>
        </is>
      </c>
      <c r="AC4" s="0" t="inlineStr">
        <is>
          <t>0.2</t>
        </is>
      </c>
    </row>
    <row r="5">
      <c r="A5" s="0" t="inlineStr">
        <is>
          <t>CLM-TEN-C3</t>
        </is>
      </c>
      <c r="B5" s="0" t="inlineStr">
        <is>
          <t>Tenor C</t>
        </is>
      </c>
      <c r="C5" s="0" t="inlineStr">
        <is>
          <t>48</t>
        </is>
      </c>
      <c r="D5" s="0" t="inlineStr">
        <is>
          <t>130.81</t>
        </is>
      </c>
      <c r="E5" s="0" t="inlineStr">
        <is>
          <t>13552.0</t>
        </is>
      </c>
      <c r="F5" s="0" t="inlineStr">
        <is>
          <t>0.75</t>
        </is>
      </c>
      <c r="G5" s="0" t="inlineStr">
        <is>
          <t>0.25</t>
        </is>
      </c>
      <c r="H5" s="0" t="inlineStr">
        <is>
          <t>1.25</t>
        </is>
      </c>
      <c r="I5" s="0" t="inlineStr">
        <is>
          <t>2.35</t>
        </is>
      </c>
      <c r="J5" s="0" t="inlineStr">
        <is>
          <t>25.483</t>
        </is>
      </c>
      <c r="K5" s="0" t="inlineStr">
        <is>
          <t>26.983</t>
        </is>
      </c>
      <c r="L5" s="0" t="inlineStr">
        <is>
          <t>1.297</t>
        </is>
      </c>
      <c r="M5" s="0" t="inlineStr">
        <is>
          <t>0.24</t>
        </is>
      </c>
      <c r="N5" s="0" t="inlineStr">
        <is>
          <t>2.678</t>
        </is>
      </c>
      <c r="O5" s="0" t="inlineStr">
        <is>
          <t>0.27</t>
        </is>
      </c>
      <c r="P5" s="0" t="inlineStr">
        <is>
          <t>5.2</t>
        </is>
      </c>
      <c r="Q5" s="0" t="inlineStr">
        <is>
          <t>0.285</t>
        </is>
      </c>
      <c r="R5" s="0" t="inlineStr">
        <is>
          <t>6.345</t>
        </is>
      </c>
      <c r="S5" s="0" t="inlineStr">
        <is>
          <t>0.255</t>
        </is>
      </c>
      <c r="T5" s="0" t="inlineStr">
        <is>
          <t>8.47</t>
        </is>
      </c>
      <c r="U5" s="0" t="inlineStr">
        <is>
          <t>0.285</t>
        </is>
      </c>
      <c r="V5" s="0" t="inlineStr">
        <is>
          <t>10.361</t>
        </is>
      </c>
      <c r="W5" s="0" t="inlineStr">
        <is>
          <t>0.3</t>
        </is>
      </c>
      <c r="X5" s="0" t="inlineStr">
        <is>
          <t>11.203</t>
        </is>
      </c>
      <c r="Y5" s="0" t="inlineStr">
        <is>
          <t>0.225</t>
        </is>
      </c>
      <c r="Z5" s="0" t="inlineStr">
        <is>
          <t>12.028</t>
        </is>
      </c>
      <c r="AA5" s="0" t="inlineStr">
        <is>
          <t>0.255</t>
        </is>
      </c>
      <c r="AB5" s="0" t="inlineStr">
        <is>
          <t>12.793</t>
        </is>
      </c>
      <c r="AC5" s="0" t="inlineStr">
        <is>
          <t>0.24</t>
        </is>
      </c>
    </row>
    <row r="6">
      <c r="A6" s="0" t="inlineStr">
        <is>
          <t>CLM-BAS-F2</t>
        </is>
      </c>
      <c r="B6" s="0" t="inlineStr">
        <is>
          <t>Bass F</t>
        </is>
      </c>
      <c r="C6" s="0" t="inlineStr">
        <is>
          <t>41</t>
        </is>
      </c>
      <c r="D6" s="0" t="inlineStr">
        <is>
          <t>87.31</t>
        </is>
      </c>
      <c r="E6" s="0" t="inlineStr">
        <is>
          <t>13552.0</t>
        </is>
      </c>
      <c r="F6" s="0" t="inlineStr">
        <is>
          <t>0.875</t>
        </is>
      </c>
      <c r="G6" s="0" t="inlineStr">
        <is>
          <t>0.313</t>
        </is>
      </c>
      <c r="H6" s="0" t="inlineStr">
        <is>
          <t>1.5</t>
        </is>
      </c>
      <c r="I6" s="0" t="inlineStr">
        <is>
          <t>2.9</t>
        </is>
      </c>
      <c r="J6" s="0" t="inlineStr">
        <is>
          <t>38.32</t>
        </is>
      </c>
      <c r="K6" s="0" t="inlineStr">
        <is>
          <t>39.82</t>
        </is>
      </c>
      <c r="L6" s="0" t="inlineStr">
        <is>
          <t>1.995</t>
        </is>
      </c>
      <c r="M6" s="0" t="inlineStr">
        <is>
          <t>0.28</t>
        </is>
      </c>
      <c r="N6" s="0" t="inlineStr">
        <is>
          <t>4.061</t>
        </is>
      </c>
      <c r="O6" s="0" t="inlineStr">
        <is>
          <t>0.315</t>
        </is>
      </c>
      <c r="P6" s="0" t="inlineStr">
        <is>
          <t>7.838</t>
        </is>
      </c>
      <c r="Q6" s="0" t="inlineStr">
        <is>
          <t>0.333</t>
        </is>
      </c>
      <c r="R6" s="0" t="inlineStr">
        <is>
          <t>9.557</t>
        </is>
      </c>
      <c r="S6" s="0" t="inlineStr">
        <is>
          <t>0.298</t>
        </is>
      </c>
      <c r="T6" s="0" t="inlineStr">
        <is>
          <t>12.739</t>
        </is>
      </c>
      <c r="U6" s="0" t="inlineStr">
        <is>
          <t>0.333</t>
        </is>
      </c>
      <c r="V6" s="0" t="inlineStr">
        <is>
          <t>15.57</t>
        </is>
      </c>
      <c r="W6" s="0" t="inlineStr">
        <is>
          <t>0.35</t>
        </is>
      </c>
      <c r="X6" s="0" t="inlineStr">
        <is>
          <t>16.839</t>
        </is>
      </c>
      <c r="Y6" s="0" t="inlineStr">
        <is>
          <t>0.263</t>
        </is>
      </c>
      <c r="Z6" s="0" t="inlineStr">
        <is>
          <t>18.071</t>
        </is>
      </c>
      <c r="AA6" s="0" t="inlineStr">
        <is>
          <t>0.298</t>
        </is>
      </c>
      <c r="AB6" s="0" t="inlineStr">
        <is>
          <t>19.22</t>
        </is>
      </c>
      <c r="AC6" s="0" t="inlineStr">
        <is>
          <t>0.28</t>
        </is>
      </c>
    </row>
  </sheetData>
</worksheet>
</file>